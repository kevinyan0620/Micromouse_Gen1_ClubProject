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<sst xmlns="http://schemas.openxmlformats.org/spreadsheetml/2006/main" count="250" uniqueCount="209">
  <si>
    <t>Item</t>
  </si>
  <si>
    <t>Product Number</t>
  </si>
  <si>
    <t>Detail</t>
  </si>
  <si>
    <t>Quantity</t>
  </si>
  <si>
    <t>Unit Price</t>
  </si>
  <si>
    <t>Purchase Link</t>
  </si>
  <si>
    <t>Datasheet</t>
  </si>
  <si>
    <t>Notes</t>
  </si>
  <si>
    <t>Total Price</t>
  </si>
  <si>
    <t>Voltage Regulator</t>
  </si>
  <si>
    <t>AZ1117IH-3.3TRG1</t>
  </si>
  <si>
    <t>Linear Voltage Regulator IC Positive Fixed 1 Output 1A SOT-223-3</t>
  </si>
  <si>
    <t>https://www.digikey.com/en/products/detail/diodes-incorporated/AZ1117IH-3-3TRG1/5699682</t>
  </si>
  <si>
    <t>https://www.diodes.com/assets/Datasheets/AZ1117I.pdf</t>
  </si>
  <si>
    <t xml:space="preserve"> </t>
  </si>
  <si>
    <t>Capacitor</t>
  </si>
  <si>
    <t>GRM21BR61C106KE15L</t>
  </si>
  <si>
    <t>10 µF ±10% 16V Ceramic Capacitor X5R 0805 (2012 Metric)</t>
  </si>
  <si>
    <t>https://www.digikey.com/en/products/detail/kyocera-avx/0805YD106KAT2A/1913255</t>
  </si>
  <si>
    <t>https://search.murata.co.jp/Ceramy/image/img/A01X/G101/ENG/GRM21BR61C106KE15-01.pdf</t>
  </si>
  <si>
    <t>Input Decoupling</t>
  </si>
  <si>
    <r>
      <rPr>
        <rFont val="Arial"/>
        <color rgb="FF1F1F1F"/>
      </rPr>
      <t xml:space="preserve">Old Order: </t>
    </r>
    <r>
      <rPr>
        <rFont val="Arial"/>
        <color rgb="FF1155CC"/>
        <u/>
      </rPr>
      <t>https://www.digikey.com/en/products/detail/murata-electronics/GRM21BR61C106KE15L/965900</t>
    </r>
  </si>
  <si>
    <t>CL21A226KOQNNNE</t>
  </si>
  <si>
    <t>22 µF ±10% 16V Ceramic Capacitor X5R 0805 (2012 Metric)</t>
  </si>
  <si>
    <t>https://www.digikey.com/en/products/detail/samsung-electro-mechanics/CL21A226KOQNNNG/8021509</t>
  </si>
  <si>
    <t>https://mm.digikey.com/Volume0/opasdata/d220001/medias/docus/6462/CL21A226KOQNNNE-datasheet.pdf</t>
  </si>
  <si>
    <t>Output Decoupling</t>
  </si>
  <si>
    <r>
      <rPr>
        <rFont val="Arial"/>
      </rPr>
      <t xml:space="preserve">Old Order: </t>
    </r>
    <r>
      <rPr>
        <rFont val="Arial"/>
        <color rgb="FF1155CC"/>
        <u/>
      </rPr>
      <t>https://www.digikey.com/en/products/detail/samsung-electro-mechanics/CL21A226KOQNNNE/5961010</t>
    </r>
  </si>
  <si>
    <t>JST Connector</t>
  </si>
  <si>
    <t>B2B-PH-K-S</t>
  </si>
  <si>
    <t>Connector Header Through Hole 2 position 0.079" (2.00mm)</t>
  </si>
  <si>
    <t>https://www.digikey.com/en/products/detail/jst-sales-america-inc/B2B-PH-K-S-LF-SN/455-1704-ND/926611</t>
  </si>
  <si>
    <t>https://www.jst-mfg.com/product/pdf/eng/ePH.pdf</t>
  </si>
  <si>
    <t>Battery JST Connector</t>
  </si>
  <si>
    <t>Switch</t>
  </si>
  <si>
    <t>EG1218</t>
  </si>
  <si>
    <t>Slide Switch SPDT Through Hole</t>
  </si>
  <si>
    <t>https://www.digikey.com/en/products/detail/e-switch/EG1218/101726</t>
  </si>
  <si>
    <t>https://configured-product-images.s3.amazonaws.com/Datasheets/EG.pdf</t>
  </si>
  <si>
    <t>Switch On/Off</t>
  </si>
  <si>
    <t>Green LED</t>
  </si>
  <si>
    <t>LTST-C170GKT</t>
  </si>
  <si>
    <t>Green 569nm LED Indication - Discrete 2.1V 0805 (2012 Metric)</t>
  </si>
  <si>
    <t>https://www.digikey.com/en/products/detail/liteon/LTST-C170GKT/269226</t>
  </si>
  <si>
    <t>https://mm.digikey.com/Volume0/opasdata/d220001/medias/docus/895/LTST-C170GKT.pdf</t>
  </si>
  <si>
    <t>Power On/Off Indicator</t>
  </si>
  <si>
    <t>Resistor</t>
  </si>
  <si>
    <t>ERA-6AEB221V</t>
  </si>
  <si>
    <t>220 Ohms ±0.1% 0.125W, 1/8W Chip Resistor 0805 (2012 Metric) Automotive AEC-Q200 Thin Film</t>
  </si>
  <si>
    <t>https://www.digikey.com/en/products/detail/panasonic-electronic-components/ERA-6AEB221V/1465732</t>
  </si>
  <si>
    <t>https://industrial.panasonic.com/cdbs/www-data/pdf/RDM0000/AOA0000C307.pdf</t>
  </si>
  <si>
    <t>Power LED Resistor</t>
  </si>
  <si>
    <t>Test Point Pins</t>
  </si>
  <si>
    <t>PC Test Point, Compact Phosphor Bronze Tin Plating Surface Mount Mounting Type</t>
  </si>
  <si>
    <t>https://www.digikey.com/en/products/detail/keystone-electronics/5095/12751699</t>
  </si>
  <si>
    <t>http://www.keystoneelectronics.biz/ENG._DEPT/WEB_ORACLE/PDF/PDF%20CAT%20NO%20DRAWINGS/5000-5999/5095.PDF</t>
  </si>
  <si>
    <t>Test Point for VBat and GND</t>
  </si>
  <si>
    <t>H Bridge IC</t>
  </si>
  <si>
    <t>L293DD</t>
  </si>
  <si>
    <t>Bipolar Motor Driver Parallel 20-SO</t>
  </si>
  <si>
    <t>https://www.digikey.com/en/products/detail/stmicroelectronics/L293DD/585913</t>
  </si>
  <si>
    <t>https://www.st.com/content/ccc/resource/technical/document/datasheet/04/ac/22/f9/20/5d/43/a1/CD00000059.pdf/files/CD00000059.pdf/jcr:content/translations/en.CD00000059.pdf</t>
  </si>
  <si>
    <t>Motor Control H Bridge</t>
  </si>
  <si>
    <t>VJ0805Y104JXAAT</t>
  </si>
  <si>
    <t>0.1 µF ±5% 50V Ceramic Capacitor X7R 0805 (2012 Metric)</t>
  </si>
  <si>
    <t>https://www.digikey.com/en/products/detail/kemet/C0805C104J5RACTU/411446</t>
  </si>
  <si>
    <t>https://www.vishay.com/docs/45199/vjcommercialseries.pdf</t>
  </si>
  <si>
    <t>Vss Decoupling 1</t>
  </si>
  <si>
    <r>
      <rPr>
        <rFont val="Arial"/>
      </rPr>
      <t xml:space="preserve">Old Order: </t>
    </r>
    <r>
      <rPr>
        <rFont val="Arial"/>
        <color rgb="FF1155CC"/>
        <u/>
      </rPr>
      <t>https://www.digikey.com/en/products/detail/vishay-vitramon/VJ0805Y104JXAAT/2776727</t>
    </r>
  </si>
  <si>
    <t>GRT21BR61H475KE13L</t>
  </si>
  <si>
    <t>4.7 µF ±10% 50V Ceramic Capacitor X5R 0805 (2012 Metric)</t>
  </si>
  <si>
    <t>https://www.digikey.com/en/products/detail/murata-electronics/GRT21BR61H475KE13L/5416816</t>
  </si>
  <si>
    <t>https://search.murata.co.jp/Ceramy/image/img/A01X/G101/ENG/GRT21BR61H475KE13-01.pdf</t>
  </si>
  <si>
    <t>Vs Decoupling 2; Vss Decoupling 2</t>
  </si>
  <si>
    <t>IR Emitter</t>
  </si>
  <si>
    <t>INL-5AMIR15</t>
  </si>
  <si>
    <t>Infrared (IR) Emitter 880nm 1.3V 100mA 7.8mW/sr @ 20mA 15° Radial</t>
  </si>
  <si>
    <t>https://www.digikey.com/en/products/detail/inolux/INL-5AMIR15/10384755</t>
  </si>
  <si>
    <t>https://www.inolux-corp.com/datasheet/IR/Emitter/5mm%20Lamp/INL-5AMIR15_V1.0.pdf</t>
  </si>
  <si>
    <t>MOSFET</t>
  </si>
  <si>
    <t>MMBF170LT1G</t>
  </si>
  <si>
    <t>N-Channel 60 V 500mA (Ta) 225mW (Ta) Surface Mount SOT-23-3 (TO-236)</t>
  </si>
  <si>
    <t>https://www.digikey.com/en/products/detail/onsemi/FDN5630/965610</t>
  </si>
  <si>
    <t>https://www.onsemi.com/pdf/datasheet/mmbf170lt1-d.pdf</t>
  </si>
  <si>
    <r>
      <rPr>
        <rFont val="Arial"/>
      </rPr>
      <t xml:space="preserve">Old Order: </t>
    </r>
    <r>
      <rPr>
        <rFont val="Arial"/>
        <color rgb="FF1155CC"/>
        <u/>
      </rPr>
      <t>https://www.digikey.com/en/products/detail/onsemi/MMBF170LT1G/919578</t>
    </r>
  </si>
  <si>
    <t>ERA-6AEB101V</t>
  </si>
  <si>
    <t>100 Ohms ±0.1% 0.125W, 1/8W Chip Resistor 0805 (2012 Metric) Automotive AEC-Q200 Thin Film</t>
  </si>
  <si>
    <t>https://www.digikey.com/en/products/detail/susumu/RG2012P-101-B-T5/1241036</t>
  </si>
  <si>
    <t>MCU Pin Current Limiter Resistor</t>
  </si>
  <si>
    <r>
      <rPr>
        <rFont val="Arial"/>
      </rPr>
      <t xml:space="preserve">Old Order: </t>
    </r>
    <r>
      <rPr>
        <rFont val="Arial"/>
        <color rgb="FF1155CC"/>
        <u/>
      </rPr>
      <t>https://www.digikey.com/en/products/detail/panasonic-electronic-components/ERA-6AEB101V/1465724</t>
    </r>
  </si>
  <si>
    <t>ERA-6AEB510V</t>
  </si>
  <si>
    <t>51 Ohms ±0.1% 0.125W, 1/8W Chip Resistor 0805 (2012 Metric) Automotive AEC-Q200 Thin Film</t>
  </si>
  <si>
    <t>https://www.digikey.com/en/products/detail/panasonic-electronic-components/ERA-6AEB510V/1465717</t>
  </si>
  <si>
    <t>IR Emitter Resistor</t>
  </si>
  <si>
    <t>ERA-6AEB473V</t>
  </si>
  <si>
    <t>47 kOhms ±0.1% 0.125W, 1/8W Chip Resistor 0805 (2012 Metric) Automotive AEC-Q200 Thin Film</t>
  </si>
  <si>
    <t>https://www.digikey.com/en/products/detail/panasonic-electronic-components/ERA-6AEB473V/1465789</t>
  </si>
  <si>
    <t>Pull Down Resistor</t>
  </si>
  <si>
    <t>IR Receiver</t>
  </si>
  <si>
    <t>SFH 313 FA-3/4</t>
  </si>
  <si>
    <t>Phototransistors 870nm Top View Radial</t>
  </si>
  <si>
    <t>https://www.digikey.com/en/products/detail/ams-osram-usa-inc/SFH-313-FA-3-4/1630112</t>
  </si>
  <si>
    <t>https://look.ams-osram.com/m/5f84917e436bcd12/original/SFH-313-FA.pdf</t>
  </si>
  <si>
    <t>ERA-6AEB182V</t>
  </si>
  <si>
    <t>1.8 kOhms ±0.1% 0.125W, 1/8W Chip Resistor 0805 (2012 Metric) Automotive AEC-Q200 Thin Film</t>
  </si>
  <si>
    <t>https://www.digikey.com/en/products/detail/panasonic-electronic-components/ERA-6AEB182V/1465755</t>
  </si>
  <si>
    <t>IR Reciever Limiting Resistor</t>
  </si>
  <si>
    <t>STM 32</t>
  </si>
  <si>
    <t>STM32F205RET7</t>
  </si>
  <si>
    <t>High-performance Arm Cortex-M3 MCU with 512 Kbytes of Flash memory, 120 MHz CPU, ART Accelerator</t>
  </si>
  <si>
    <t>https://estore.st.com/en/stm32f205ret7-cpn.html</t>
  </si>
  <si>
    <t>https://www.st.com/resource/en/datasheet/stm32f205rb.pdf</t>
  </si>
  <si>
    <t>GRM21BC72A105KE01L</t>
  </si>
  <si>
    <t>1 µF ±10% 100V Ceramic Capacitor X7S 0805 (2012 Metric)</t>
  </si>
  <si>
    <t>https://www.digikey.com/en/products/detail/murata-electronics/GRM21BC72A105KE01L/6606093</t>
  </si>
  <si>
    <t>https://search.murata.co.jp/Ceramy/image/img/A01X/G101/ENG/GRM21BC72A105KE01-01.pdf</t>
  </si>
  <si>
    <t>Microcontroller Decoupling Capacitor</t>
  </si>
  <si>
    <t>GRM21BD72A225KE01L</t>
  </si>
  <si>
    <t>2.2 µF ±10% 100V Ceramic Capacitor X7T 0805 (2012 Metric)</t>
  </si>
  <si>
    <t>https://www.digikey.com/en/products/detail/murata-electronics/GRM21BD72A225KE01L/16033492?s=N4IgTCBcDaIOICUCyYCMAhAIgdjAQTDAFYBpAUQAZUAZEAXQF8g</t>
  </si>
  <si>
    <t>https://search.murata.co.jp/Ceramy/image/img/A01X/G101/ENG/GRM21BD72A225KE01-01A.pdf</t>
  </si>
  <si>
    <t>ERA-6AEB103V</t>
  </si>
  <si>
    <t>10 kOhms ±0.1% 0.125W, 1/8W Chip Resistor 0805 (2012 Metric) Automotive AEC-Q200 Thin Film</t>
  </si>
  <si>
    <t>https://www.digikey.com/en/products/detail/panasonic-electronic-components/ERA-6AEB103V/1465773</t>
  </si>
  <si>
    <t>Microcontroller Resistor</t>
  </si>
  <si>
    <t>Pushbutton</t>
  </si>
  <si>
    <t>TR1-01</t>
  </si>
  <si>
    <t>Pushbutton Switch SPST-NO Standard Through Hole</t>
  </si>
  <si>
    <t>https://www.digikey.com/en/products/detail/nidec-components-corporation/TR1-01/5125294</t>
  </si>
  <si>
    <t>https://www.nidec-components.com/e/catalog/switch/tm&amp;tr.pdf</t>
  </si>
  <si>
    <t>Microcontroller Reset Button</t>
  </si>
  <si>
    <t>Female Socket</t>
  </si>
  <si>
    <t>SSK02-FPH-254-A4</t>
  </si>
  <si>
    <t>4 Position Header Connector 0.100" (2.54mm) Through Hole Gold</t>
  </si>
  <si>
    <t>https://www.digikey.com/en/products/detail/same-sky-formerly-cui-devices/SSK02-FPH-254-A4/28772197</t>
  </si>
  <si>
    <t>https://www.sameskydevices.com/product/resource/ssk02-fph-254.pdf</t>
  </si>
  <si>
    <t>Socket for ST Link</t>
  </si>
  <si>
    <t>User LED Resistor</t>
  </si>
  <si>
    <t>Red LED</t>
  </si>
  <si>
    <t>LTST-C171KRKT</t>
  </si>
  <si>
    <t>Red 631nm LED Indication - Discrete 2V 0805 (2012 Metric)</t>
  </si>
  <si>
    <t>https://www.digikey.com/en/products/detail/liteon/LTST-C171KRKT/386801</t>
  </si>
  <si>
    <t>https://optoelectronics.liteon.com/upload/download/DS22-2000-109/LTST-C171KRKT.pdf</t>
  </si>
  <si>
    <t>User Red LED</t>
  </si>
  <si>
    <t>Yellow LED</t>
  </si>
  <si>
    <t>LTST-C170KSKT</t>
  </si>
  <si>
    <t>Yellow 591nm LED Indication - Discrete 2.1V 0805 (2012 Metric)</t>
  </si>
  <si>
    <t>https://www.digikey.com/en/products/detail/liteon/LTST-C170YKT/269247</t>
  </si>
  <si>
    <t>https://optoelectronics.liteon.com/upload/download/DS-22-99-0188/LTST-C170KSKT.pdf</t>
  </si>
  <si>
    <t>User Yellow LED</t>
  </si>
  <si>
    <r>
      <rPr>
        <rFont val="Arial"/>
      </rPr>
      <t xml:space="preserve">Old Order: </t>
    </r>
    <r>
      <rPr>
        <rFont val="Arial"/>
        <color rgb="FF1155CC"/>
        <u/>
      </rPr>
      <t>https://www.digikey.com/en/products/detail/liteon/LTST-C170KSKT/386781</t>
    </r>
  </si>
  <si>
    <t>Blue LED</t>
  </si>
  <si>
    <t>LTST-C170TBKT</t>
  </si>
  <si>
    <t>Blue 470nm LED Indication - Discrete 3.3V 0805 (2012 Metric)</t>
  </si>
  <si>
    <t>https://www.digikey.com/en/products/detail/liteon/LTST-C170TBKT/388527</t>
  </si>
  <si>
    <t>https://optoelectronics.liteon.com/upload/download/DS-22-99-0226/LTST-C170TBKT.pdf</t>
  </si>
  <si>
    <t>User Blue LED</t>
  </si>
  <si>
    <t>ERA-6AEB472V</t>
  </si>
  <si>
    <t>4.7 kOhms ±0.1% 0.125W, 1/8W Chip Resistor 0805 (2012 Metric) Automotive AEC-Q200 Thin Film</t>
  </si>
  <si>
    <t>https://www.digikey.com/en/products/detail/panasonic-electronic-components/ERA-6AEB472V/1465765</t>
  </si>
  <si>
    <t>User Button Pull-up Resistor</t>
  </si>
  <si>
    <t>Push Button</t>
  </si>
  <si>
    <t>KS11R22CQD</t>
  </si>
  <si>
    <t>Pushbutton Switch SPST-NO Keyswitch Through Hole</t>
  </si>
  <si>
    <t>https://www.digikey.com/en/products/detail/c-k/KS11R22CQD/332670</t>
  </si>
  <si>
    <t>https://www.ckswitches.com/media/1342/ks.pdf</t>
  </si>
  <si>
    <t>Black User Button</t>
  </si>
  <si>
    <t>KS11R23CQD</t>
  </si>
  <si>
    <t>https://www.digikey.com/en/products/detail/c-k/KS11R23CQD/332672</t>
  </si>
  <si>
    <t>Red User Button</t>
  </si>
  <si>
    <t>Gyroscope</t>
  </si>
  <si>
    <t>Adafruit 9-DOF Orientation IMU Fusion Breakout - BNO085 (BNO080) - STEMMA QT / Qwiic</t>
  </si>
  <si>
    <t>https://www.adafruit.com/product/4754#technical-details</t>
  </si>
  <si>
    <t>https://cdn-learn.adafruit.com/downloads/pdf/adafruit-9-dof-orientation-imu-fusion-breakout-bno085.pdf</t>
  </si>
  <si>
    <t>VJ0805Y103JXAAC</t>
  </si>
  <si>
    <t>10000 pF ±5% 50V Ceramic Capacitor X7R 0805 (2012 Metric)</t>
  </si>
  <si>
    <t>https://www.digikey.com/en/products/detail/vishay-vitramon/VJ0805Y103JXAAC/8310931</t>
  </si>
  <si>
    <t>Gyroscope Decoupling Capacitor</t>
  </si>
  <si>
    <t>VJ0805Y474JXJTW1BC</t>
  </si>
  <si>
    <t>0.47 µF ±5% 16V Ceramic Capacitor X7R 0805 (2012 Metric)</t>
  </si>
  <si>
    <t>https://www.digikey.com/en/products/detail/vishay-vitramon/VJ0805Y474JXJTW1BC/8312995</t>
  </si>
  <si>
    <t>https://www.vishay.com/docs/28548/vjw1bcbascomseries.pdf</t>
  </si>
  <si>
    <t>Motor</t>
  </si>
  <si>
    <t>30:1 Micro Metal Gearmotor MP 6V with Extended Motor Shaft</t>
  </si>
  <si>
    <t>https://www.pololu.com/product/2378</t>
  </si>
  <si>
    <t>Encoder Pair</t>
  </si>
  <si>
    <t>Magnetic Encoder Pair Kit with Top-Entry Connector for Micro Metal Gearmotors, 12 CPR, 2.7-18V</t>
  </si>
  <si>
    <t>https://www.pololu.com/product/4760</t>
  </si>
  <si>
    <t>Motor Mount</t>
  </si>
  <si>
    <t>Pololu Micro Metal Gearmotor Bracket Pair - White</t>
  </si>
  <si>
    <t>https://www.pololu.com/product/1086</t>
  </si>
  <si>
    <t>Wheels</t>
  </si>
  <si>
    <t>Pololu Wheel 32×7mm Pair - White</t>
  </si>
  <si>
    <t>https://www.pololu.com/product/1088</t>
  </si>
  <si>
    <t>LiPo Battery</t>
  </si>
  <si>
    <t>Lithium Ion Polymer Battery - 3.7v 1200mAh</t>
  </si>
  <si>
    <t>https://www.adafruit.com/product/258</t>
  </si>
  <si>
    <t>LiPo Battery Charger</t>
  </si>
  <si>
    <t>Adafruit Micro Lipo - USB LiIon/LiPoly charger - v2</t>
  </si>
  <si>
    <t>https://www.adafruit.com/product/1304</t>
  </si>
  <si>
    <t>Socket</t>
  </si>
  <si>
    <t>D01-9970642</t>
  </si>
  <si>
    <t>6 (1 x 6) Pos SIP Socket Gold Through Hole</t>
  </si>
  <si>
    <t>https://www.digikey.com/en/products/detail/harwin-inc/D01-9970642/3727951?s=N4IgjCBcoKwOwWiAxlAZgQwDYGcCmANCAPZQDaIATACwCccMlIAukQA4AuUIAyhwE4BLAHYBzEAF8iYOLQAMUUKkiZchEuRD1KANhbsukXgJHipIALRMkygQFd1pSBRgtzFvTaj3HmpswlzawocYmQAazwuAKA</t>
  </si>
  <si>
    <t>https://content.harwin.com/m/e0b6c35948424a73/original/DRG-00097-Technical-Drawing-Datasheet-D01-997-pdf.pdf</t>
  </si>
  <si>
    <t>Socket for Gyroscope</t>
  </si>
  <si>
    <t xml:space="preserve">JST Connector </t>
  </si>
  <si>
    <t>JST SH-Style Cable for Micro Metal Gearmotor Encoders, 6-Pin, Female-Female, 10cm</t>
  </si>
  <si>
    <t>https://www.pololu.com/product/4765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</si>
</sst>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panasonic-electronic-components/ERA-6AEB182V/1465755" TargetMode="External"/><Relationship Id="rId84" Type="http://schemas.openxmlformats.org/officeDocument/2006/relationships/hyperlink" Target="https://content.harwin.com/m/e0b6c35948424a73/original/DRG-00097-Technical-Drawing-Datasheet-D01-997-pdf.pdf" TargetMode="External"/><Relationship Id="rId83" Type="http://schemas.openxmlformats.org/officeDocument/2006/relationships/hyperlink" Target="https://content.harwin.com/m/e0b6c35948424a73/original/DRG-00097-Technical-Drawing-Datasheet-D01-997-pdf.pdf" TargetMode="External"/><Relationship Id="rId42" Type="http://schemas.openxmlformats.org/officeDocument/2006/relationships/hyperlink" Target="https://estore.st.com/en/stm32f205ret7-cpn.html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s://industrial.panasonic.com/cdbs/www-data/pdf/RDM0000/AOA0000C307.pdf" TargetMode="External"/><Relationship Id="rId85" Type="http://schemas.openxmlformats.org/officeDocument/2006/relationships/hyperlink" Target="https://www.pololu.com/product/4765" TargetMode="External"/><Relationship Id="rId44" Type="http://schemas.openxmlformats.org/officeDocument/2006/relationships/hyperlink" Target="https://www.digikey.com/en/products/detail/murata-electronics/GRM21BC72A105KE01L/6606093" TargetMode="External"/><Relationship Id="rId43" Type="http://schemas.openxmlformats.org/officeDocument/2006/relationships/hyperlink" Target="https://www.st.com/resource/en/datasheet/stm32f205rb.pdf" TargetMode="External"/><Relationship Id="rId46" Type="http://schemas.openxmlformats.org/officeDocument/2006/relationships/hyperlink" Target="https://www.digikey.com/en/products/detail/murata-electronics/GRM21BD72A225KE01L/16033492?s=N4IgTCBcDaIOICUCyYCMAhAIgdjAQTDAFYBpAUQAZUAZEAXQF8g" TargetMode="External"/><Relationship Id="rId45" Type="http://schemas.openxmlformats.org/officeDocument/2006/relationships/hyperlink" Target="https://search.murata.co.jp/Ceramy/image/img/A01X/G101/ENG/GRM21BC72A105KE01-01.pdf" TargetMode="External"/><Relationship Id="rId80" Type="http://schemas.openxmlformats.org/officeDocument/2006/relationships/hyperlink" Target="https://www.adafruit.com/product/258" TargetMode="External"/><Relationship Id="rId82" Type="http://schemas.openxmlformats.org/officeDocument/2006/relationships/hyperlink" Target="https://www.digikey.com/en/products/detail/harwin-inc/D01-9970642/3727951?s=N4IgjCBcoKwOwWiAxlAZgQwDYGcCmANCAPZQDaIATACwCccMlIAukQA4AuUIAyhwE4BLAHYBzEAF8iYOLQAMUUKkiZchEuRD1KANhbsukXgJHipIALRMkygQFd1pSBRgtzFvTaj3HmpswlzawocYmQAazwuAKA" TargetMode="External"/><Relationship Id="rId81" Type="http://schemas.openxmlformats.org/officeDocument/2006/relationships/hyperlink" Target="https://www.adafruit.com/product/1304" TargetMode="External"/><Relationship Id="rId1" Type="http://schemas.openxmlformats.org/officeDocument/2006/relationships/hyperlink" Target="https://www.digikey.com/en/products/detail/diodes-incorporated/AZ1117IH-3-3TRG1/5699682" TargetMode="External"/><Relationship Id="rId2" Type="http://schemas.openxmlformats.org/officeDocument/2006/relationships/hyperlink" Target="https://www.diodes.com/assets/Datasheets/AZ1117I.pdf" TargetMode="External"/><Relationship Id="rId3" Type="http://schemas.openxmlformats.org/officeDocument/2006/relationships/hyperlink" Target="https://www.digikey.com/en/products/detail/kyocera-avx/0805YD106KAT2A/1913255" TargetMode="External"/><Relationship Id="rId4" Type="http://schemas.openxmlformats.org/officeDocument/2006/relationships/hyperlink" Target="https://search.murata.co.jp/Ceramy/image/img/A01X/G101/ENG/GRM21BR61C106KE15-01.pdf" TargetMode="External"/><Relationship Id="rId9" Type="http://schemas.openxmlformats.org/officeDocument/2006/relationships/hyperlink" Target="https://www.digikey.com/en/products/detail/jst-sales-america-inc/B2B-PH-K-S-LF-SN/455-1704-ND/926611" TargetMode="External"/><Relationship Id="rId48" Type="http://schemas.openxmlformats.org/officeDocument/2006/relationships/hyperlink" Target="https://www.digikey.com/en/products/detail/panasonic-electronic-components/ERA-6AEB103V/1465773" TargetMode="External"/><Relationship Id="rId47" Type="http://schemas.openxmlformats.org/officeDocument/2006/relationships/hyperlink" Target="https://search.murata.co.jp/Ceramy/image/img/A01X/G101/ENG/GRM21BD72A225KE01-01A.pdf" TargetMode="External"/><Relationship Id="rId49" Type="http://schemas.openxmlformats.org/officeDocument/2006/relationships/hyperlink" Target="https://industrial.panasonic.com/cdbs/www-data/pdf/RDM0000/AOA0000C307.pdf" TargetMode="External"/><Relationship Id="rId5" Type="http://schemas.openxmlformats.org/officeDocument/2006/relationships/hyperlink" Target="https://www.digikey.com/en/products/detail/murata-electronics/GRM21BR61C106KE15L/965900" TargetMode="External"/><Relationship Id="rId6" Type="http://schemas.openxmlformats.org/officeDocument/2006/relationships/hyperlink" Target="https://www.digikey.com/en/products/detail/samsung-electro-mechanics/CL21A226KOQNNNG/8021509" TargetMode="External"/><Relationship Id="rId7" Type="http://schemas.openxmlformats.org/officeDocument/2006/relationships/hyperlink" Target="https://mm.digikey.com/Volume0/opasdata/d220001/medias/docus/6462/CL21A226KOQNNNE-datasheet.pdf" TargetMode="External"/><Relationship Id="rId8" Type="http://schemas.openxmlformats.org/officeDocument/2006/relationships/hyperlink" Target="https://www.digikey.com/en/products/detail/samsung-electro-mechanics/CL21A226KOQNNNE/5961010" TargetMode="External"/><Relationship Id="rId73" Type="http://schemas.openxmlformats.org/officeDocument/2006/relationships/hyperlink" Target="https://www.vishay.com/docs/45199/vjcommercialseries.pdf" TargetMode="External"/><Relationship Id="rId72" Type="http://schemas.openxmlformats.org/officeDocument/2006/relationships/hyperlink" Target="https://www.digikey.com/en/products/detail/vishay-vitramon/VJ0805Y103JXAAC/8310931" TargetMode="External"/><Relationship Id="rId31" Type="http://schemas.openxmlformats.org/officeDocument/2006/relationships/hyperlink" Target="https://www.digikey.com/en/products/detail/susumu/RG2012P-101-B-T5/1241036" TargetMode="External"/><Relationship Id="rId75" Type="http://schemas.openxmlformats.org/officeDocument/2006/relationships/hyperlink" Target="https://www.vishay.com/docs/28548/vjw1bcbascomseries.pdf" TargetMode="External"/><Relationship Id="rId30" Type="http://schemas.openxmlformats.org/officeDocument/2006/relationships/hyperlink" Target="https://www.digikey.com/en/products/detail/onsemi/MMBF170LT1G/919578" TargetMode="External"/><Relationship Id="rId74" Type="http://schemas.openxmlformats.org/officeDocument/2006/relationships/hyperlink" Target="https://www.digikey.com/en/products/detail/vishay-vitramon/VJ0805Y474JXJTW1BC/8312995" TargetMode="External"/><Relationship Id="rId33" Type="http://schemas.openxmlformats.org/officeDocument/2006/relationships/hyperlink" Target="https://www.digikey.com/en/products/detail/panasonic-electronic-components/ERA-6AEB101V/1465724" TargetMode="External"/><Relationship Id="rId77" Type="http://schemas.openxmlformats.org/officeDocument/2006/relationships/hyperlink" Target="https://www.pololu.com/product/4760" TargetMode="External"/><Relationship Id="rId32" Type="http://schemas.openxmlformats.org/officeDocument/2006/relationships/hyperlink" Target="https://industrial.panasonic.com/cdbs/www-data/pdf/RDM0000/AOA0000C307.pdf" TargetMode="External"/><Relationship Id="rId76" Type="http://schemas.openxmlformats.org/officeDocument/2006/relationships/hyperlink" Target="https://www.pololu.com/product/2378" TargetMode="External"/><Relationship Id="rId35" Type="http://schemas.openxmlformats.org/officeDocument/2006/relationships/hyperlink" Target="https://industrial.panasonic.com/cdbs/www-data/pdf/RDM0000/AOA0000C307.pdf" TargetMode="External"/><Relationship Id="rId79" Type="http://schemas.openxmlformats.org/officeDocument/2006/relationships/hyperlink" Target="https://www.pololu.com/product/1088" TargetMode="External"/><Relationship Id="rId34" Type="http://schemas.openxmlformats.org/officeDocument/2006/relationships/hyperlink" Target="https://www.digikey.com/en/products/detail/panasonic-electronic-components/ERA-6AEB510V/1465717" TargetMode="External"/><Relationship Id="rId78" Type="http://schemas.openxmlformats.org/officeDocument/2006/relationships/hyperlink" Target="https://www.pololu.com/product/1086" TargetMode="External"/><Relationship Id="rId71" Type="http://schemas.openxmlformats.org/officeDocument/2006/relationships/hyperlink" Target="https://cdn-learn.adafruit.com/downloads/pdf/adafruit-9-dof-orientation-imu-fusion-breakout-bno085.pdf" TargetMode="External"/><Relationship Id="rId70" Type="http://schemas.openxmlformats.org/officeDocument/2006/relationships/hyperlink" Target="https://www.adafruit.com/product/4754" TargetMode="External"/><Relationship Id="rId37" Type="http://schemas.openxmlformats.org/officeDocument/2006/relationships/hyperlink" Target="https://industrial.panasonic.com/cdbs/www-data/pdf/RDM0000/AOA0000C307.pdf" TargetMode="External"/><Relationship Id="rId36" Type="http://schemas.openxmlformats.org/officeDocument/2006/relationships/hyperlink" Target="https://www.digikey.com/en/products/detail/panasonic-electronic-components/ERA-6AEB473V/1465789" TargetMode="External"/><Relationship Id="rId39" Type="http://schemas.openxmlformats.org/officeDocument/2006/relationships/hyperlink" Target="https://look.ams-osram.com/m/5f84917e436bcd12/original/SFH-313-FA.pdf" TargetMode="External"/><Relationship Id="rId38" Type="http://schemas.openxmlformats.org/officeDocument/2006/relationships/hyperlink" Target="https://www.digikey.com/en/products/detail/ams-osram-usa-inc/SFH-313-FA-3-4/1630112" TargetMode="External"/><Relationship Id="rId62" Type="http://schemas.openxmlformats.org/officeDocument/2006/relationships/hyperlink" Target="https://www.digikey.com/en/products/detail/liteon/LTST-C170TBKT/388527" TargetMode="External"/><Relationship Id="rId61" Type="http://schemas.openxmlformats.org/officeDocument/2006/relationships/hyperlink" Target="https://www.digikey.com/en/products/detail/liteon/LTST-C170KSKT/386781" TargetMode="External"/><Relationship Id="rId20" Type="http://schemas.openxmlformats.org/officeDocument/2006/relationships/hyperlink" Target="https://www.st.com/content/ccc/resource/technical/document/datasheet/04/ac/22/f9/20/5d/43/a1/CD00000059.pdf/files/CD00000059.pdf/jcr:content/translations/en.CD00000059.pdf" TargetMode="External"/><Relationship Id="rId64" Type="http://schemas.openxmlformats.org/officeDocument/2006/relationships/hyperlink" Target="https://www.digikey.com/en/products/detail/panasonic-electronic-components/ERA-6AEB472V/1465765" TargetMode="External"/><Relationship Id="rId63" Type="http://schemas.openxmlformats.org/officeDocument/2006/relationships/hyperlink" Target="https://optoelectronics.liteon.com/upload/download/DS-22-99-0226/LTST-C170TBKT.pdf" TargetMode="External"/><Relationship Id="rId22" Type="http://schemas.openxmlformats.org/officeDocument/2006/relationships/hyperlink" Target="https://www.vishay.com/docs/45199/vjcommercialseries.pdf" TargetMode="External"/><Relationship Id="rId66" Type="http://schemas.openxmlformats.org/officeDocument/2006/relationships/hyperlink" Target="https://www.digikey.com/en/products/detail/c-k/KS11R22CQD/332670" TargetMode="External"/><Relationship Id="rId21" Type="http://schemas.openxmlformats.org/officeDocument/2006/relationships/hyperlink" Target="https://www.digikey.com/en/products/detail/kemet/C0805C104J5RACTU/411446" TargetMode="External"/><Relationship Id="rId65" Type="http://schemas.openxmlformats.org/officeDocument/2006/relationships/hyperlink" Target="https://industrial.panasonic.com/cdbs/www-data/pdf/RDM0000/AOA0000C307.pdf" TargetMode="External"/><Relationship Id="rId24" Type="http://schemas.openxmlformats.org/officeDocument/2006/relationships/hyperlink" Target="https://www.digikey.com/en/products/detail/murata-electronics/GRT21BR61H475KE13L/5416816" TargetMode="External"/><Relationship Id="rId68" Type="http://schemas.openxmlformats.org/officeDocument/2006/relationships/hyperlink" Target="https://www.digikey.com/en/products/detail/c-k/KS11R23CQD/332672" TargetMode="External"/><Relationship Id="rId23" Type="http://schemas.openxmlformats.org/officeDocument/2006/relationships/hyperlink" Target="https://www.digikey.com/en/products/detail/vishay-vitramon/VJ0805Y104JXAAT/2776727" TargetMode="External"/><Relationship Id="rId67" Type="http://schemas.openxmlformats.org/officeDocument/2006/relationships/hyperlink" Target="https://www.ckswitches.com/media/1342/ks.pdf" TargetMode="External"/><Relationship Id="rId60" Type="http://schemas.openxmlformats.org/officeDocument/2006/relationships/hyperlink" Target="https://optoelectronics.liteon.com/upload/download/DS-22-99-0188/LTST-C170KSKT.pdf" TargetMode="External"/><Relationship Id="rId26" Type="http://schemas.openxmlformats.org/officeDocument/2006/relationships/hyperlink" Target="https://www.digikey.com/en/products/detail/inolux/INL-5AMIR15/10384755" TargetMode="External"/><Relationship Id="rId25" Type="http://schemas.openxmlformats.org/officeDocument/2006/relationships/hyperlink" Target="https://search.murata.co.jp/Ceramy/image/img/A01X/G101/ENG/GRT21BR61H475KE13-01.pdf" TargetMode="External"/><Relationship Id="rId69" Type="http://schemas.openxmlformats.org/officeDocument/2006/relationships/hyperlink" Target="https://www.ckswitches.com/media/1342/ks.pdf" TargetMode="External"/><Relationship Id="rId28" Type="http://schemas.openxmlformats.org/officeDocument/2006/relationships/hyperlink" Target="https://www.digikey.com/en/products/detail/onsemi/FDN5630/965610" TargetMode="External"/><Relationship Id="rId27" Type="http://schemas.openxmlformats.org/officeDocument/2006/relationships/hyperlink" Target="https://www.inolux-corp.com/datasheet/IR/Emitter/5mm%20Lamp/INL-5AMIR15_V1.0.pdf" TargetMode="External"/><Relationship Id="rId29" Type="http://schemas.openxmlformats.org/officeDocument/2006/relationships/hyperlink" Target="https://www.onsemi.com/pdf/datasheet/mmbf170lt1-d.pdf" TargetMode="External"/><Relationship Id="rId51" Type="http://schemas.openxmlformats.org/officeDocument/2006/relationships/hyperlink" Target="https://www.nidec-components.com/e/catalog/switch/tm&amp;tr.pdf" TargetMode="External"/><Relationship Id="rId50" Type="http://schemas.openxmlformats.org/officeDocument/2006/relationships/hyperlink" Target="https://www.digikey.com/en/products/detail/nidec-components-corporation/TR1-01/5125294" TargetMode="External"/><Relationship Id="rId53" Type="http://schemas.openxmlformats.org/officeDocument/2006/relationships/hyperlink" Target="https://www.sameskydevices.com/product/resource/ssk02-fph-254.pdf" TargetMode="External"/><Relationship Id="rId52" Type="http://schemas.openxmlformats.org/officeDocument/2006/relationships/hyperlink" Target="https://www.digikey.com/en/products/detail/same-sky-formerly-cui-devices/SSK02-FPH-254-A4/28772197" TargetMode="External"/><Relationship Id="rId11" Type="http://schemas.openxmlformats.org/officeDocument/2006/relationships/hyperlink" Target="https://www.digikey.com/en/products/detail/e-switch/EG1218/101726" TargetMode="External"/><Relationship Id="rId55" Type="http://schemas.openxmlformats.org/officeDocument/2006/relationships/hyperlink" Target="https://www.digikey.com/en/products/detail/panasonic-electronic-components/ERA-6AEB221V/1465732" TargetMode="External"/><Relationship Id="rId10" Type="http://schemas.openxmlformats.org/officeDocument/2006/relationships/hyperlink" Target="https://www.jst-mfg.com/product/pdf/eng/ePH.pdf" TargetMode="External"/><Relationship Id="rId54" Type="http://schemas.openxmlformats.org/officeDocument/2006/relationships/hyperlink" Target="https://www.sameskydevices.com/product/resource/ssk02-fph-254.pdf" TargetMode="External"/><Relationship Id="rId13" Type="http://schemas.openxmlformats.org/officeDocument/2006/relationships/hyperlink" Target="https://www.digikey.com/en/products/detail/liteon/LTST-C170GKT/269226" TargetMode="External"/><Relationship Id="rId57" Type="http://schemas.openxmlformats.org/officeDocument/2006/relationships/hyperlink" Target="https://www.digikey.com/en/products/detail/liteon/LTST-C171KRKT/386801" TargetMode="External"/><Relationship Id="rId12" Type="http://schemas.openxmlformats.org/officeDocument/2006/relationships/hyperlink" Target="https://configured-product-images.s3.amazonaws.com/Datasheets/EG.pdf" TargetMode="External"/><Relationship Id="rId56" Type="http://schemas.openxmlformats.org/officeDocument/2006/relationships/hyperlink" Target="https://industrial.panasonic.com/cdbs/www-data/pdf/RDM0000/AOA0000C307.pdf" TargetMode="External"/><Relationship Id="rId15" Type="http://schemas.openxmlformats.org/officeDocument/2006/relationships/hyperlink" Target="https://www.digikey.com/en/products/detail/panasonic-electronic-components/ERA-6AEB221V/1465732" TargetMode="External"/><Relationship Id="rId59" Type="http://schemas.openxmlformats.org/officeDocument/2006/relationships/hyperlink" Target="https://www.digikey.com/en/products/detail/liteon/LTST-C170YKT/269247" TargetMode="External"/><Relationship Id="rId14" Type="http://schemas.openxmlformats.org/officeDocument/2006/relationships/hyperlink" Target="https://mm.digikey.com/Volume0/opasdata/d220001/medias/docus/895/LTST-C170GKT.pdf" TargetMode="External"/><Relationship Id="rId58" Type="http://schemas.openxmlformats.org/officeDocument/2006/relationships/hyperlink" Target="https://optoelectronics.liteon.com/upload/download/DS22-2000-109/LTST-C171KRKT.pdf" TargetMode="External"/><Relationship Id="rId17" Type="http://schemas.openxmlformats.org/officeDocument/2006/relationships/hyperlink" Target="https://www.digikey.com/en/products/detail/keystone-electronics/5095/12751699" TargetMode="External"/><Relationship Id="rId16" Type="http://schemas.openxmlformats.org/officeDocument/2006/relationships/hyperlink" Target="https://industrial.panasonic.com/cdbs/www-data/pdf/RDM0000/AOA0000C307.pdf" TargetMode="External"/><Relationship Id="rId19" Type="http://schemas.openxmlformats.org/officeDocument/2006/relationships/hyperlink" Target="https://www.digikey.com/en/products/detail/stmicroelectronics/L293DD/585913" TargetMode="External"/><Relationship Id="rId18" Type="http://schemas.openxmlformats.org/officeDocument/2006/relationships/hyperlink" Target="http://www.keystoneelectronics.biz/ENG._DEPT/WEB_ORACLE/PDF/PDF%20CAT%20NO%20DRAWINGS/5000-5999/509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2">
        <f>SUMPRODUCT(D2:D85,E2:E85)</f>
        <v>211.09</v>
      </c>
      <c r="L1" s="1"/>
    </row>
    <row r="2">
      <c r="A2" s="1" t="s">
        <v>9</v>
      </c>
      <c r="B2" s="1" t="s">
        <v>10</v>
      </c>
      <c r="C2" s="1" t="s">
        <v>11</v>
      </c>
      <c r="D2" s="2">
        <v>1.0</v>
      </c>
      <c r="E2" s="2">
        <v>0.24</v>
      </c>
      <c r="F2" s="3" t="s">
        <v>12</v>
      </c>
      <c r="G2" s="3" t="s">
        <v>13</v>
      </c>
      <c r="H2" s="1" t="s">
        <v>14</v>
      </c>
      <c r="I2" s="1"/>
      <c r="J2" s="1"/>
      <c r="K2" s="1"/>
      <c r="L2" s="1"/>
    </row>
    <row r="3">
      <c r="A3" s="1" t="s">
        <v>15</v>
      </c>
      <c r="B3" s="1" t="s">
        <v>16</v>
      </c>
      <c r="C3" s="1" t="s">
        <v>17</v>
      </c>
      <c r="D3" s="4">
        <v>6.0</v>
      </c>
      <c r="E3" s="2">
        <v>0.13</v>
      </c>
      <c r="F3" s="5" t="s">
        <v>18</v>
      </c>
      <c r="G3" s="3" t="s">
        <v>19</v>
      </c>
      <c r="H3" s="1" t="s">
        <v>20</v>
      </c>
      <c r="I3" s="1"/>
      <c r="J3" s="6" t="s">
        <v>21</v>
      </c>
      <c r="K3" s="7" t="s">
        <v>14</v>
      </c>
      <c r="L3" s="1"/>
    </row>
    <row r="4">
      <c r="A4" s="1" t="s">
        <v>15</v>
      </c>
      <c r="B4" s="1" t="s">
        <v>22</v>
      </c>
      <c r="C4" s="1" t="s">
        <v>23</v>
      </c>
      <c r="D4" s="4">
        <v>3.0</v>
      </c>
      <c r="E4" s="2">
        <v>0.33</v>
      </c>
      <c r="F4" s="5" t="s">
        <v>24</v>
      </c>
      <c r="G4" s="3" t="s">
        <v>25</v>
      </c>
      <c r="H4" s="1" t="s">
        <v>26</v>
      </c>
      <c r="I4" s="1"/>
      <c r="J4" s="6" t="s">
        <v>27</v>
      </c>
      <c r="K4" s="7" t="s">
        <v>14</v>
      </c>
      <c r="L4" s="1"/>
    </row>
    <row r="5">
      <c r="A5" s="1" t="s">
        <v>28</v>
      </c>
      <c r="B5" s="1" t="s">
        <v>29</v>
      </c>
      <c r="C5" s="1" t="s">
        <v>30</v>
      </c>
      <c r="D5" s="2">
        <v>2.0</v>
      </c>
      <c r="E5" s="2">
        <v>0.1</v>
      </c>
      <c r="F5" s="3" t="s">
        <v>31</v>
      </c>
      <c r="G5" s="3" t="s">
        <v>32</v>
      </c>
      <c r="H5" s="1" t="s">
        <v>33</v>
      </c>
      <c r="I5" s="1"/>
      <c r="J5" s="1"/>
      <c r="K5" s="1"/>
      <c r="L5" s="1"/>
    </row>
    <row r="6">
      <c r="A6" s="1" t="s">
        <v>34</v>
      </c>
      <c r="B6" s="1" t="s">
        <v>35</v>
      </c>
      <c r="C6" s="1" t="s">
        <v>36</v>
      </c>
      <c r="D6" s="2">
        <v>1.0</v>
      </c>
      <c r="E6" s="2">
        <v>0.84</v>
      </c>
      <c r="F6" s="3" t="s">
        <v>37</v>
      </c>
      <c r="G6" s="3" t="s">
        <v>38</v>
      </c>
      <c r="H6" s="1" t="s">
        <v>39</v>
      </c>
      <c r="I6" s="1"/>
      <c r="J6" s="1"/>
      <c r="K6" s="1"/>
      <c r="L6" s="1"/>
    </row>
    <row r="7">
      <c r="A7" s="1" t="s">
        <v>40</v>
      </c>
      <c r="B7" s="1" t="s">
        <v>41</v>
      </c>
      <c r="C7" s="1" t="s">
        <v>42</v>
      </c>
      <c r="D7" s="4">
        <v>3.0</v>
      </c>
      <c r="E7" s="2">
        <v>0.1</v>
      </c>
      <c r="F7" s="5" t="s">
        <v>43</v>
      </c>
      <c r="G7" s="3" t="s">
        <v>44</v>
      </c>
      <c r="H7" s="1" t="s">
        <v>45</v>
      </c>
      <c r="I7" s="1"/>
      <c r="J7" s="1"/>
      <c r="K7" s="1"/>
      <c r="L7" s="1"/>
    </row>
    <row r="8">
      <c r="A8" s="1" t="s">
        <v>46</v>
      </c>
      <c r="B8" s="1" t="s">
        <v>47</v>
      </c>
      <c r="C8" s="1" t="s">
        <v>48</v>
      </c>
      <c r="D8" s="4">
        <v>3.0</v>
      </c>
      <c r="E8" s="2">
        <v>0.1</v>
      </c>
      <c r="F8" s="3" t="s">
        <v>49</v>
      </c>
      <c r="G8" s="3" t="s">
        <v>50</v>
      </c>
      <c r="H8" s="1" t="s">
        <v>51</v>
      </c>
      <c r="I8" s="1"/>
      <c r="J8" s="1"/>
      <c r="K8" s="1"/>
      <c r="L8" s="1"/>
    </row>
    <row r="9">
      <c r="A9" s="1" t="s">
        <v>52</v>
      </c>
      <c r="B9" s="2">
        <v>5095.0</v>
      </c>
      <c r="C9" s="1" t="s">
        <v>53</v>
      </c>
      <c r="D9" s="4">
        <v>4.0</v>
      </c>
      <c r="E9" s="2">
        <v>0.4</v>
      </c>
      <c r="F9" s="3" t="s">
        <v>54</v>
      </c>
      <c r="G9" s="3" t="s">
        <v>55</v>
      </c>
      <c r="H9" s="1" t="s">
        <v>56</v>
      </c>
      <c r="I9" s="1"/>
      <c r="J9" s="1"/>
      <c r="K9" s="1"/>
      <c r="L9" s="1"/>
    </row>
    <row r="10">
      <c r="A10" s="1" t="s">
        <v>57</v>
      </c>
      <c r="B10" s="1" t="s">
        <v>58</v>
      </c>
      <c r="C10" s="1" t="s">
        <v>59</v>
      </c>
      <c r="D10" s="4">
        <v>2.0</v>
      </c>
      <c r="E10" s="2">
        <v>8.56</v>
      </c>
      <c r="F10" s="3" t="s">
        <v>60</v>
      </c>
      <c r="G10" s="3" t="s">
        <v>61</v>
      </c>
      <c r="H10" s="1" t="s">
        <v>62</v>
      </c>
      <c r="I10" s="1"/>
      <c r="J10" s="1"/>
      <c r="K10" s="1"/>
      <c r="L10" s="1"/>
    </row>
    <row r="11">
      <c r="A11" s="1" t="s">
        <v>15</v>
      </c>
      <c r="B11" s="1" t="s">
        <v>63</v>
      </c>
      <c r="C11" s="1" t="s">
        <v>64</v>
      </c>
      <c r="D11" s="4">
        <v>18.0</v>
      </c>
      <c r="E11" s="2">
        <v>0.39</v>
      </c>
      <c r="F11" s="5" t="s">
        <v>65</v>
      </c>
      <c r="G11" s="3" t="s">
        <v>66</v>
      </c>
      <c r="H11" s="1" t="s">
        <v>67</v>
      </c>
      <c r="I11" s="1"/>
      <c r="J11" s="6" t="s">
        <v>68</v>
      </c>
      <c r="K11" s="7" t="s">
        <v>14</v>
      </c>
      <c r="L11" s="1"/>
    </row>
    <row r="12">
      <c r="A12" s="1" t="s">
        <v>15</v>
      </c>
      <c r="B12" s="1" t="s">
        <v>69</v>
      </c>
      <c r="C12" s="1" t="s">
        <v>70</v>
      </c>
      <c r="D12" s="4">
        <v>9.0</v>
      </c>
      <c r="E12" s="2">
        <v>0.17</v>
      </c>
      <c r="F12" s="3" t="s">
        <v>71</v>
      </c>
      <c r="G12" s="3" t="s">
        <v>72</v>
      </c>
      <c r="H12" s="1" t="s">
        <v>73</v>
      </c>
      <c r="I12" s="1"/>
      <c r="J12" s="1"/>
      <c r="K12" s="1"/>
      <c r="L12" s="1"/>
    </row>
    <row r="13">
      <c r="A13" s="1" t="s">
        <v>74</v>
      </c>
      <c r="B13" s="1" t="s">
        <v>75</v>
      </c>
      <c r="C13" s="1" t="s">
        <v>76</v>
      </c>
      <c r="D13" s="4">
        <v>7.0</v>
      </c>
      <c r="E13" s="2">
        <v>0.92</v>
      </c>
      <c r="F13" s="8" t="s">
        <v>77</v>
      </c>
      <c r="G13" s="3" t="s">
        <v>78</v>
      </c>
      <c r="H13" s="7" t="s">
        <v>14</v>
      </c>
      <c r="I13" s="1"/>
    </row>
    <row r="14">
      <c r="A14" s="1" t="s">
        <v>79</v>
      </c>
      <c r="B14" s="1" t="s">
        <v>80</v>
      </c>
      <c r="C14" s="1" t="s">
        <v>81</v>
      </c>
      <c r="D14" s="4">
        <v>8.0</v>
      </c>
      <c r="E14" s="2">
        <v>0.26</v>
      </c>
      <c r="F14" s="5" t="s">
        <v>82</v>
      </c>
      <c r="G14" s="3" t="s">
        <v>83</v>
      </c>
      <c r="H14" s="1" t="s">
        <v>14</v>
      </c>
      <c r="I14" s="1"/>
      <c r="J14" s="6" t="s">
        <v>84</v>
      </c>
      <c r="K14" s="7" t="s">
        <v>14</v>
      </c>
      <c r="L14" s="1"/>
    </row>
    <row r="15">
      <c r="A15" s="1" t="s">
        <v>46</v>
      </c>
      <c r="B15" s="1" t="s">
        <v>85</v>
      </c>
      <c r="C15" s="1" t="s">
        <v>86</v>
      </c>
      <c r="D15" s="4">
        <v>8.0</v>
      </c>
      <c r="E15" s="2">
        <v>0.1</v>
      </c>
      <c r="F15" s="5" t="s">
        <v>87</v>
      </c>
      <c r="G15" s="3" t="s">
        <v>50</v>
      </c>
      <c r="H15" s="1" t="s">
        <v>88</v>
      </c>
      <c r="I15" s="1"/>
      <c r="J15" s="6" t="s">
        <v>89</v>
      </c>
      <c r="K15" s="7" t="s">
        <v>14</v>
      </c>
      <c r="L15" s="1"/>
    </row>
    <row r="16">
      <c r="A16" s="1" t="s">
        <v>46</v>
      </c>
      <c r="B16" s="1" t="s">
        <v>90</v>
      </c>
      <c r="C16" s="1" t="s">
        <v>91</v>
      </c>
      <c r="D16" s="4">
        <v>8.0</v>
      </c>
      <c r="E16" s="2">
        <v>0.1</v>
      </c>
      <c r="F16" s="3" t="s">
        <v>92</v>
      </c>
      <c r="G16" s="3" t="s">
        <v>50</v>
      </c>
      <c r="H16" s="1" t="s">
        <v>93</v>
      </c>
      <c r="I16" s="1"/>
      <c r="J16" s="1"/>
      <c r="K16" s="1"/>
      <c r="L16" s="1"/>
    </row>
    <row r="17">
      <c r="A17" s="1" t="s">
        <v>46</v>
      </c>
      <c r="B17" s="1" t="s">
        <v>94</v>
      </c>
      <c r="C17" s="1" t="s">
        <v>95</v>
      </c>
      <c r="D17" s="4">
        <v>8.0</v>
      </c>
      <c r="E17" s="2">
        <v>0.1</v>
      </c>
      <c r="F17" s="3" t="s">
        <v>96</v>
      </c>
      <c r="G17" s="3" t="s">
        <v>50</v>
      </c>
      <c r="H17" s="1" t="s">
        <v>97</v>
      </c>
      <c r="I17" s="1"/>
      <c r="J17" s="1"/>
      <c r="K17" s="1"/>
      <c r="L17" s="1"/>
    </row>
    <row r="18">
      <c r="A18" s="1" t="s">
        <v>98</v>
      </c>
      <c r="B18" s="1" t="s">
        <v>99</v>
      </c>
      <c r="C18" s="1" t="s">
        <v>100</v>
      </c>
      <c r="D18" s="4">
        <v>7.0</v>
      </c>
      <c r="E18" s="2">
        <v>0.83</v>
      </c>
      <c r="F18" s="3" t="s">
        <v>101</v>
      </c>
      <c r="G18" s="3" t="s">
        <v>102</v>
      </c>
      <c r="H18" s="7" t="s">
        <v>14</v>
      </c>
      <c r="I18" s="1"/>
      <c r="J18" s="1"/>
    </row>
    <row r="19">
      <c r="A19" s="1" t="s">
        <v>46</v>
      </c>
      <c r="B19" s="1" t="s">
        <v>103</v>
      </c>
      <c r="C19" s="1" t="s">
        <v>104</v>
      </c>
      <c r="D19" s="4">
        <v>8.0</v>
      </c>
      <c r="E19" s="2">
        <v>0.1</v>
      </c>
      <c r="F19" s="3" t="s">
        <v>105</v>
      </c>
      <c r="G19" s="3" t="s">
        <v>50</v>
      </c>
      <c r="H19" s="1" t="s">
        <v>106</v>
      </c>
      <c r="I19" s="1"/>
      <c r="J19" s="1"/>
      <c r="K19" s="1"/>
      <c r="L19" s="1"/>
    </row>
    <row r="20">
      <c r="A20" s="1" t="s">
        <v>107</v>
      </c>
      <c r="B20" s="1" t="s">
        <v>108</v>
      </c>
      <c r="C20" s="1" t="s">
        <v>109</v>
      </c>
      <c r="D20" s="4">
        <v>2.0</v>
      </c>
      <c r="E20" s="2">
        <v>11.52</v>
      </c>
      <c r="F20" s="5" t="s">
        <v>110</v>
      </c>
      <c r="G20" s="3" t="s">
        <v>111</v>
      </c>
      <c r="H20" s="1" t="s">
        <v>14</v>
      </c>
      <c r="I20" s="1"/>
      <c r="J20" s="1"/>
      <c r="K20" s="1"/>
      <c r="L20" s="1"/>
    </row>
    <row r="21">
      <c r="A21" s="1" t="s">
        <v>15</v>
      </c>
      <c r="B21" s="1" t="s">
        <v>112</v>
      </c>
      <c r="C21" s="1" t="s">
        <v>113</v>
      </c>
      <c r="D21" s="4">
        <v>3.0</v>
      </c>
      <c r="E21" s="2">
        <v>0.36</v>
      </c>
      <c r="F21" s="3" t="s">
        <v>114</v>
      </c>
      <c r="G21" s="3" t="s">
        <v>115</v>
      </c>
      <c r="H21" s="1" t="s">
        <v>116</v>
      </c>
      <c r="I21" s="1"/>
      <c r="J21" s="1"/>
      <c r="K21" s="1"/>
      <c r="L21" s="1"/>
    </row>
    <row r="22">
      <c r="A22" s="1" t="s">
        <v>15</v>
      </c>
      <c r="B22" s="1" t="s">
        <v>117</v>
      </c>
      <c r="C22" s="1" t="s">
        <v>118</v>
      </c>
      <c r="D22" s="4">
        <v>4.0</v>
      </c>
      <c r="E22" s="2">
        <v>0.4</v>
      </c>
      <c r="F22" s="3" t="s">
        <v>119</v>
      </c>
      <c r="G22" s="3" t="s">
        <v>120</v>
      </c>
      <c r="H22" s="1" t="s">
        <v>116</v>
      </c>
      <c r="I22" s="1"/>
      <c r="J22" s="1"/>
      <c r="K22" s="1"/>
      <c r="L22" s="1"/>
    </row>
    <row r="23">
      <c r="A23" s="1" t="s">
        <v>46</v>
      </c>
      <c r="B23" s="1" t="s">
        <v>121</v>
      </c>
      <c r="C23" s="1" t="s">
        <v>122</v>
      </c>
      <c r="D23" s="4">
        <v>5.0</v>
      </c>
      <c r="E23" s="2">
        <v>0.1</v>
      </c>
      <c r="F23" s="3" t="s">
        <v>123</v>
      </c>
      <c r="G23" s="3" t="s">
        <v>50</v>
      </c>
      <c r="H23" s="1" t="s">
        <v>124</v>
      </c>
      <c r="I23" s="1"/>
      <c r="J23" s="1"/>
      <c r="K23" s="1"/>
      <c r="L23" s="1"/>
    </row>
    <row r="24">
      <c r="A24" s="1" t="s">
        <v>125</v>
      </c>
      <c r="B24" s="1" t="s">
        <v>126</v>
      </c>
      <c r="C24" s="1" t="s">
        <v>127</v>
      </c>
      <c r="D24" s="2">
        <v>1.0</v>
      </c>
      <c r="E24" s="2">
        <v>0.86</v>
      </c>
      <c r="F24" s="3" t="s">
        <v>128</v>
      </c>
      <c r="G24" s="3" t="s">
        <v>129</v>
      </c>
      <c r="H24" s="1" t="s">
        <v>130</v>
      </c>
      <c r="I24" s="1"/>
      <c r="J24" s="1"/>
      <c r="K24" s="1"/>
      <c r="L24" s="1"/>
    </row>
    <row r="25">
      <c r="A25" s="1" t="s">
        <v>131</v>
      </c>
      <c r="B25" s="1" t="s">
        <v>132</v>
      </c>
      <c r="C25" s="1" t="s">
        <v>133</v>
      </c>
      <c r="D25" s="2">
        <v>1.0</v>
      </c>
      <c r="E25" s="2">
        <v>0.32</v>
      </c>
      <c r="F25" s="3" t="s">
        <v>134</v>
      </c>
      <c r="G25" s="3" t="s">
        <v>135</v>
      </c>
      <c r="H25" s="9" t="s">
        <v>136</v>
      </c>
      <c r="I25" s="1"/>
      <c r="J25" s="1"/>
    </row>
    <row r="26">
      <c r="A26" s="1" t="s">
        <v>46</v>
      </c>
      <c r="B26" s="1" t="s">
        <v>47</v>
      </c>
      <c r="C26" s="1" t="s">
        <v>48</v>
      </c>
      <c r="D26" s="4">
        <v>6.0</v>
      </c>
      <c r="E26" s="2">
        <v>0.1</v>
      </c>
      <c r="F26" s="3" t="s">
        <v>49</v>
      </c>
      <c r="G26" s="3" t="s">
        <v>50</v>
      </c>
      <c r="H26" s="1" t="s">
        <v>137</v>
      </c>
      <c r="I26" s="1"/>
      <c r="J26" s="1"/>
      <c r="K26" s="1"/>
      <c r="L26" s="1"/>
    </row>
    <row r="27">
      <c r="A27" s="1" t="s">
        <v>138</v>
      </c>
      <c r="B27" s="1" t="s">
        <v>139</v>
      </c>
      <c r="C27" s="1" t="s">
        <v>140</v>
      </c>
      <c r="D27" s="4">
        <v>2.0</v>
      </c>
      <c r="E27" s="2">
        <v>0.13</v>
      </c>
      <c r="F27" s="3" t="s">
        <v>141</v>
      </c>
      <c r="G27" s="3" t="s">
        <v>142</v>
      </c>
      <c r="H27" s="1" t="s">
        <v>143</v>
      </c>
      <c r="I27" s="1"/>
      <c r="J27" s="1"/>
      <c r="K27" s="1"/>
      <c r="L27" s="1"/>
    </row>
    <row r="28">
      <c r="A28" s="1" t="s">
        <v>144</v>
      </c>
      <c r="B28" s="1" t="s">
        <v>145</v>
      </c>
      <c r="C28" s="1" t="s">
        <v>146</v>
      </c>
      <c r="D28" s="4">
        <v>2.0</v>
      </c>
      <c r="E28" s="2">
        <v>0.14</v>
      </c>
      <c r="F28" s="5" t="s">
        <v>147</v>
      </c>
      <c r="G28" s="3" t="s">
        <v>148</v>
      </c>
      <c r="H28" s="1" t="s">
        <v>149</v>
      </c>
      <c r="I28" s="1"/>
      <c r="J28" s="6" t="s">
        <v>150</v>
      </c>
      <c r="K28" s="7" t="s">
        <v>14</v>
      </c>
      <c r="L28" s="1"/>
    </row>
    <row r="29">
      <c r="A29" s="1" t="s">
        <v>151</v>
      </c>
      <c r="B29" s="1" t="s">
        <v>152</v>
      </c>
      <c r="C29" s="1" t="s">
        <v>153</v>
      </c>
      <c r="D29" s="4">
        <v>2.0</v>
      </c>
      <c r="E29" s="2">
        <v>0.22</v>
      </c>
      <c r="F29" s="3" t="s">
        <v>154</v>
      </c>
      <c r="G29" s="3" t="s">
        <v>155</v>
      </c>
      <c r="H29" s="1" t="s">
        <v>156</v>
      </c>
      <c r="I29" s="1"/>
      <c r="J29" s="1"/>
      <c r="K29" s="1"/>
      <c r="L29" s="1"/>
    </row>
    <row r="30">
      <c r="A30" s="1" t="s">
        <v>46</v>
      </c>
      <c r="B30" s="1" t="s">
        <v>157</v>
      </c>
      <c r="C30" s="1" t="s">
        <v>158</v>
      </c>
      <c r="D30" s="4">
        <v>6.0</v>
      </c>
      <c r="E30" s="2">
        <v>0.1</v>
      </c>
      <c r="F30" s="3" t="s">
        <v>159</v>
      </c>
      <c r="G30" s="3" t="s">
        <v>50</v>
      </c>
      <c r="H30" s="1" t="s">
        <v>160</v>
      </c>
      <c r="I30" s="1"/>
      <c r="J30" s="1"/>
      <c r="K30" s="1"/>
      <c r="L30" s="1"/>
    </row>
    <row r="31">
      <c r="A31" s="1" t="s">
        <v>161</v>
      </c>
      <c r="B31" s="1" t="s">
        <v>162</v>
      </c>
      <c r="C31" s="1" t="s">
        <v>163</v>
      </c>
      <c r="D31" s="2">
        <v>1.0</v>
      </c>
      <c r="E31" s="2">
        <v>2.84</v>
      </c>
      <c r="F31" s="5" t="s">
        <v>164</v>
      </c>
      <c r="G31" s="3" t="s">
        <v>165</v>
      </c>
      <c r="H31" s="1" t="s">
        <v>166</v>
      </c>
      <c r="I31" s="1"/>
      <c r="J31" s="1"/>
      <c r="K31" s="1"/>
      <c r="L31" s="1"/>
    </row>
    <row r="32">
      <c r="A32" s="1" t="s">
        <v>161</v>
      </c>
      <c r="B32" s="1" t="s">
        <v>167</v>
      </c>
      <c r="C32" s="1" t="s">
        <v>163</v>
      </c>
      <c r="D32" s="2">
        <v>1.0</v>
      </c>
      <c r="E32" s="2">
        <v>2.84</v>
      </c>
      <c r="F32" s="3" t="s">
        <v>168</v>
      </c>
      <c r="G32" s="3" t="s">
        <v>165</v>
      </c>
      <c r="H32" s="1" t="s">
        <v>169</v>
      </c>
      <c r="I32" s="1"/>
      <c r="J32" s="1"/>
      <c r="K32" s="1"/>
      <c r="L32" s="1"/>
    </row>
    <row r="33">
      <c r="A33" s="1" t="s">
        <v>170</v>
      </c>
      <c r="B33" s="2">
        <v>4754.0</v>
      </c>
      <c r="C33" s="1" t="s">
        <v>171</v>
      </c>
      <c r="D33" s="2">
        <v>1.0</v>
      </c>
      <c r="E33" s="2">
        <v>24.95</v>
      </c>
      <c r="F33" s="3" t="s">
        <v>172</v>
      </c>
      <c r="G33" s="3" t="s">
        <v>173</v>
      </c>
      <c r="H33" s="7" t="s">
        <v>14</v>
      </c>
      <c r="I33" s="1"/>
      <c r="J33" s="1"/>
    </row>
    <row r="34">
      <c r="A34" s="1" t="s">
        <v>15</v>
      </c>
      <c r="B34" s="1" t="s">
        <v>174</v>
      </c>
      <c r="C34" s="1" t="s">
        <v>175</v>
      </c>
      <c r="D34" s="4">
        <v>3.0</v>
      </c>
      <c r="E34" s="2">
        <v>0.26</v>
      </c>
      <c r="F34" s="3" t="s">
        <v>176</v>
      </c>
      <c r="G34" s="3" t="s">
        <v>66</v>
      </c>
      <c r="H34" s="1" t="s">
        <v>177</v>
      </c>
      <c r="I34" s="1"/>
      <c r="J34" s="1"/>
      <c r="K34" s="1"/>
      <c r="L34" s="1"/>
    </row>
    <row r="35">
      <c r="A35" s="1" t="s">
        <v>15</v>
      </c>
      <c r="B35" s="1" t="s">
        <v>178</v>
      </c>
      <c r="C35" s="1" t="s">
        <v>179</v>
      </c>
      <c r="D35" s="4">
        <v>3.0</v>
      </c>
      <c r="E35" s="2">
        <v>0.34</v>
      </c>
      <c r="F35" s="3" t="s">
        <v>180</v>
      </c>
      <c r="G35" s="3" t="s">
        <v>181</v>
      </c>
      <c r="H35" s="1" t="s">
        <v>177</v>
      </c>
      <c r="I35" s="1"/>
      <c r="J35" s="1"/>
      <c r="K35" s="1"/>
      <c r="L35" s="1"/>
    </row>
    <row r="36">
      <c r="A36" s="1" t="s">
        <v>182</v>
      </c>
      <c r="B36" s="2">
        <v>2378.0</v>
      </c>
      <c r="C36" s="1" t="s">
        <v>183</v>
      </c>
      <c r="D36" s="2">
        <v>2.0</v>
      </c>
      <c r="E36" s="2">
        <v>24.95</v>
      </c>
      <c r="F36" s="3" t="s">
        <v>184</v>
      </c>
      <c r="G36" s="1"/>
      <c r="H36" s="1"/>
      <c r="I36" s="1"/>
      <c r="J36" s="1"/>
      <c r="K36" s="1"/>
      <c r="L36" s="1"/>
    </row>
    <row r="37">
      <c r="A37" s="1" t="s">
        <v>185</v>
      </c>
      <c r="B37" s="2">
        <v>4760.0</v>
      </c>
      <c r="C37" s="1" t="s">
        <v>186</v>
      </c>
      <c r="D37" s="2">
        <v>1.0</v>
      </c>
      <c r="E37" s="2">
        <v>8.95</v>
      </c>
      <c r="F37" s="3" t="s">
        <v>187</v>
      </c>
      <c r="G37" s="1"/>
      <c r="H37" s="1"/>
      <c r="I37" s="1"/>
      <c r="J37" s="1"/>
      <c r="K37" s="1"/>
      <c r="L37" s="1"/>
    </row>
    <row r="38">
      <c r="A38" s="1" t="s">
        <v>188</v>
      </c>
      <c r="B38" s="2">
        <v>1086.0</v>
      </c>
      <c r="C38" s="1" t="s">
        <v>189</v>
      </c>
      <c r="D38" s="2">
        <v>1.0</v>
      </c>
      <c r="E38" s="2">
        <v>2.95</v>
      </c>
      <c r="F38" s="3" t="s">
        <v>190</v>
      </c>
      <c r="G38" s="1"/>
      <c r="H38" s="1"/>
      <c r="I38" s="1"/>
      <c r="J38" s="1"/>
      <c r="K38" s="1"/>
      <c r="L38" s="1"/>
    </row>
    <row r="39">
      <c r="A39" s="1" t="s">
        <v>191</v>
      </c>
      <c r="B39" s="2">
        <v>1088.0</v>
      </c>
      <c r="C39" s="1" t="s">
        <v>192</v>
      </c>
      <c r="D39" s="2">
        <v>1.0</v>
      </c>
      <c r="E39" s="2">
        <v>4.45</v>
      </c>
      <c r="F39" s="3" t="s">
        <v>193</v>
      </c>
      <c r="G39" s="1"/>
      <c r="H39" s="1"/>
      <c r="I39" s="1"/>
      <c r="J39" s="1"/>
      <c r="K39" s="1"/>
      <c r="L39" s="1"/>
    </row>
    <row r="40">
      <c r="A40" s="1" t="s">
        <v>194</v>
      </c>
      <c r="B40" s="2">
        <v>258.0</v>
      </c>
      <c r="C40" s="1" t="s">
        <v>195</v>
      </c>
      <c r="D40" s="2">
        <v>2.0</v>
      </c>
      <c r="E40" s="2">
        <v>9.95</v>
      </c>
      <c r="F40" s="3" t="s">
        <v>196</v>
      </c>
      <c r="G40" s="1"/>
      <c r="H40" s="1"/>
      <c r="I40" s="1"/>
      <c r="J40" s="1"/>
      <c r="K40" s="1"/>
      <c r="L40" s="1"/>
    </row>
    <row r="41">
      <c r="A41" s="1" t="s">
        <v>197</v>
      </c>
      <c r="B41" s="2">
        <v>1304.0</v>
      </c>
      <c r="C41" s="1" t="s">
        <v>198</v>
      </c>
      <c r="D41" s="2">
        <v>1.0</v>
      </c>
      <c r="E41" s="2">
        <v>5.95</v>
      </c>
      <c r="F41" s="3" t="s">
        <v>199</v>
      </c>
      <c r="G41" s="1"/>
      <c r="H41" s="1"/>
      <c r="I41" s="1"/>
      <c r="J41" s="1"/>
      <c r="K41" s="1"/>
      <c r="L41" s="1"/>
    </row>
    <row r="42">
      <c r="A42" s="1" t="s">
        <v>200</v>
      </c>
      <c r="B42" s="1" t="s">
        <v>201</v>
      </c>
      <c r="C42" s="1" t="s">
        <v>202</v>
      </c>
      <c r="D42" s="4">
        <v>3.0</v>
      </c>
      <c r="E42" s="2">
        <v>0.63</v>
      </c>
      <c r="F42" s="3" t="s">
        <v>203</v>
      </c>
      <c r="G42" s="3" t="s">
        <v>204</v>
      </c>
      <c r="H42" s="9" t="s">
        <v>205</v>
      </c>
      <c r="I42" s="1"/>
      <c r="J42" s="1"/>
    </row>
    <row r="43">
      <c r="A43" s="7" t="s">
        <v>206</v>
      </c>
      <c r="B43" s="7">
        <v>4765.0</v>
      </c>
      <c r="C43" s="10" t="s">
        <v>207</v>
      </c>
      <c r="D43" s="7">
        <v>2.0</v>
      </c>
      <c r="E43" s="7">
        <v>3.32</v>
      </c>
      <c r="F43" s="5" t="s">
        <v>208</v>
      </c>
      <c r="G43" s="1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hyperlinks>
    <hyperlink r:id="rId1" ref="F2"/>
    <hyperlink r:id="rId2" ref="G2"/>
    <hyperlink r:id="rId3" ref="F3"/>
    <hyperlink r:id="rId4" ref="G3"/>
    <hyperlink r:id="rId5" ref="J3"/>
    <hyperlink r:id="rId6" ref="F4"/>
    <hyperlink r:id="rId7" ref="G4"/>
    <hyperlink r:id="rId8" ref="J4"/>
    <hyperlink r:id="rId9" ref="F5"/>
    <hyperlink r:id="rId10" ref="G5"/>
    <hyperlink r:id="rId11" ref="F6"/>
    <hyperlink r:id="rId12" ref="G6"/>
    <hyperlink r:id="rId13" ref="F7"/>
    <hyperlink r:id="rId14" ref="G7"/>
    <hyperlink r:id="rId15" ref="F8"/>
    <hyperlink r:id="rId16" ref="G8"/>
    <hyperlink r:id="rId17" ref="F9"/>
    <hyperlink r:id="rId18" ref="G9"/>
    <hyperlink r:id="rId19" ref="F10"/>
    <hyperlink r:id="rId20" ref="G10"/>
    <hyperlink r:id="rId21" ref="F11"/>
    <hyperlink r:id="rId22" ref="G11"/>
    <hyperlink r:id="rId23" ref="J11"/>
    <hyperlink r:id="rId24" ref="F12"/>
    <hyperlink r:id="rId25" ref="G12"/>
    <hyperlink r:id="rId26" ref="F13"/>
    <hyperlink r:id="rId27" ref="G13"/>
    <hyperlink r:id="rId28" ref="F14"/>
    <hyperlink r:id="rId29" ref="G14"/>
    <hyperlink r:id="rId30" ref="J14"/>
    <hyperlink r:id="rId31" ref="F15"/>
    <hyperlink r:id="rId32" ref="G15"/>
    <hyperlink r:id="rId33" ref="J15"/>
    <hyperlink r:id="rId34" ref="F16"/>
    <hyperlink r:id="rId35" ref="G16"/>
    <hyperlink r:id="rId36" ref="F17"/>
    <hyperlink r:id="rId37" ref="G17"/>
    <hyperlink r:id="rId38" ref="F18"/>
    <hyperlink r:id="rId39" ref="G18"/>
    <hyperlink r:id="rId40" ref="F19"/>
    <hyperlink r:id="rId41" ref="G19"/>
    <hyperlink r:id="rId42" ref="F20"/>
    <hyperlink r:id="rId43" ref="G20"/>
    <hyperlink r:id="rId44" ref="F21"/>
    <hyperlink r:id="rId45" ref="G21"/>
    <hyperlink r:id="rId46" ref="F22"/>
    <hyperlink r:id="rId47" ref="G22"/>
    <hyperlink r:id="rId48" ref="F23"/>
    <hyperlink r:id="rId49" ref="G23"/>
    <hyperlink r:id="rId50" ref="F24"/>
    <hyperlink r:id="rId51" ref="G24"/>
    <hyperlink r:id="rId52" ref="F25"/>
    <hyperlink r:id="rId53" ref="G25"/>
    <hyperlink r:id="rId54" ref="H25"/>
    <hyperlink r:id="rId55" ref="F26"/>
    <hyperlink r:id="rId56" ref="G26"/>
    <hyperlink r:id="rId57" ref="F27"/>
    <hyperlink r:id="rId58" ref="G27"/>
    <hyperlink r:id="rId59" ref="F28"/>
    <hyperlink r:id="rId60" ref="G28"/>
    <hyperlink r:id="rId61" ref="J28"/>
    <hyperlink r:id="rId62" ref="F29"/>
    <hyperlink r:id="rId63" ref="G29"/>
    <hyperlink r:id="rId64" ref="F30"/>
    <hyperlink r:id="rId65" ref="G30"/>
    <hyperlink r:id="rId66" ref="F31"/>
    <hyperlink r:id="rId67" ref="G31"/>
    <hyperlink r:id="rId68" ref="F32"/>
    <hyperlink r:id="rId69" ref="G32"/>
    <hyperlink r:id="rId70" location="technical-details" ref="F33"/>
    <hyperlink r:id="rId71" ref="G33"/>
    <hyperlink r:id="rId72" ref="F34"/>
    <hyperlink r:id="rId73" ref="G34"/>
    <hyperlink r:id="rId74" ref="F35"/>
    <hyperlink r:id="rId75" ref="G35"/>
    <hyperlink r:id="rId76" ref="F36"/>
    <hyperlink r:id="rId77" ref="F37"/>
    <hyperlink r:id="rId78" ref="F38"/>
    <hyperlink r:id="rId79" ref="F39"/>
    <hyperlink r:id="rId80" ref="F40"/>
    <hyperlink r:id="rId81" ref="F41"/>
    <hyperlink r:id="rId82" ref="F42"/>
    <hyperlink r:id="rId83" ref="G42"/>
    <hyperlink r:id="rId84" ref="H42"/>
    <hyperlink r:id="rId85" ref="F43"/>
  </hyperlinks>
  <drawing r:id="rId86"/>
</worksheet>
</file>